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lculadora Importació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000"/>
    <numFmt numFmtId="166" formatCode="0.0%"/>
    <numFmt numFmtId="167" formatCode="&quot;R$ &quot;#,##0.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sz val="12"/>
      <u val="single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sz val="9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sz val="9"/>
    </font>
    <font>
      <name val="Arial"/>
      <charset val="1"/>
      <family val="0"/>
      <color rgb="FFFF0000"/>
      <sz val="9"/>
    </font>
    <font>
      <name val="Arial"/>
      <charset val="1"/>
      <family val="0"/>
      <b val="1"/>
      <sz val="10"/>
    </font>
    <font>
      <name val="Cambria"/>
      <charset val="1"/>
      <family val="0"/>
      <b val="1"/>
      <sz val="13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FF0000"/>
      <sz val="10"/>
    </font>
  </fonts>
  <fills count="13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FFFCE4D6"/>
        <bgColor rgb="FFFFE6E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  <fill>
      <patternFill patternType="solid">
        <fgColor rgb="FFFFE6E6"/>
        <bgColor rgb="FFFCE4D6"/>
      </patternFill>
    </fill>
    <fill>
      <patternFill patternType="solid">
        <fgColor rgb="FFC6E0B4"/>
        <bgColor rgb="FFE2EFDA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bottom" wrapText="1"/>
    </xf>
    <xf numFmtId="0" fontId="0" fillId="5" borderId="1" applyAlignment="1" pivotButton="0" quotePrefix="0" xfId="0">
      <alignment horizontal="general" vertical="bottom"/>
    </xf>
    <xf numFmtId="1" fontId="11" fillId="3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6" fontId="8" fillId="7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4" fontId="7" fillId="8" borderId="1" applyAlignment="1" pivotButton="0" quotePrefix="0" xfId="0">
      <alignment horizontal="general" vertical="bottom"/>
    </xf>
    <xf numFmtId="164" fontId="13" fillId="9" borderId="1" applyAlignment="1" pivotButton="0" quotePrefix="0" xfId="0">
      <alignment horizontal="general" vertical="bottom"/>
    </xf>
    <xf numFmtId="164" fontId="14" fillId="10" borderId="1" applyAlignment="1" pivotButton="0" quotePrefix="0" xfId="0">
      <alignment horizontal="general" vertical="bottom"/>
    </xf>
    <xf numFmtId="164" fontId="15" fillId="11" borderId="1" applyAlignment="1" pivotButton="0" quotePrefix="0" xfId="0">
      <alignment horizontal="general" vertical="bottom"/>
    </xf>
    <xf numFmtId="166" fontId="10" fillId="6" borderId="1" applyAlignment="1" pivotButton="0" quotePrefix="0" xfId="0">
      <alignment horizontal="general" vertical="bottom"/>
    </xf>
    <xf numFmtId="164" fontId="0" fillId="6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4" fontId="16" fillId="12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17" fillId="11" borderId="1" applyAlignment="1" pivotButton="0" quotePrefix="0" xfId="0">
      <alignment horizontal="general" vertical="bottom"/>
    </xf>
    <xf numFmtId="166" fontId="17" fillId="11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bottom" wrapText="1"/>
    </xf>
    <xf numFmtId="0" fontId="0" fillId="5" borderId="1" applyAlignment="1" pivotButton="0" quotePrefix="0" xfId="0">
      <alignment horizontal="general" vertical="bottom"/>
    </xf>
    <xf numFmtId="1" fontId="11" fillId="3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6" fontId="8" fillId="7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4" fontId="7" fillId="8" borderId="1" applyAlignment="1" pivotButton="0" quotePrefix="0" xfId="0">
      <alignment horizontal="general" vertical="bottom"/>
    </xf>
    <xf numFmtId="164" fontId="13" fillId="9" borderId="1" applyAlignment="1" pivotButton="0" quotePrefix="0" xfId="0">
      <alignment horizontal="general" vertical="bottom"/>
    </xf>
    <xf numFmtId="164" fontId="14" fillId="10" borderId="1" applyAlignment="1" pivotButton="0" quotePrefix="0" xfId="0">
      <alignment horizontal="general" vertical="bottom"/>
    </xf>
    <xf numFmtId="164" fontId="15" fillId="11" borderId="1" applyAlignment="1" pivotButton="0" quotePrefix="0" xfId="0">
      <alignment horizontal="general" vertical="bottom"/>
    </xf>
    <xf numFmtId="166" fontId="10" fillId="6" borderId="1" applyAlignment="1" pivotButton="0" quotePrefix="0" xfId="0">
      <alignment horizontal="general" vertical="bottom"/>
    </xf>
    <xf numFmtId="164" fontId="0" fillId="6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4" fontId="16" fillId="12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17" fillId="11" borderId="1" applyAlignment="1" pivotButton="0" quotePrefix="0" xfId="0">
      <alignment horizontal="general" vertical="bottom"/>
    </xf>
    <xf numFmtId="166" fontId="17" fillId="11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E6E6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12" customWidth="1" style="33" min="2" max="2"/>
    <col width="10" customWidth="1" style="33" min="3" max="3"/>
    <col width="12" customWidth="1" style="33" min="4" max="4"/>
    <col width="13" customWidth="1" style="33" min="5" max="5"/>
    <col width="14" customWidth="1" style="33" min="6" max="7"/>
    <col width="15" customWidth="1" style="33" min="8" max="10"/>
    <col width="12" customWidth="1" style="33" min="11" max="12"/>
  </cols>
  <sheetData>
    <row r="1" ht="17.35" customHeight="1" s="34">
      <c r="A1" s="35" t="inlineStr">
        <is>
          <t>CALCULADORA DE IMPORTACIÓN - Ciudad del Este</t>
        </is>
      </c>
    </row>
    <row r="2" ht="15" customHeight="1" s="34">
      <c r="A2" s="36" t="inlineStr">
        <is>
          <t>Actualizado: 20/02/2026 13:23</t>
        </is>
      </c>
    </row>
    <row r="4" ht="15" customHeight="1" s="34">
      <c r="A4" s="37" t="inlineStr">
        <is>
          <t>1. COTIZACIONES (Actualizar diariamente)</t>
        </is>
      </c>
    </row>
    <row r="6" ht="15" customHeight="1" s="34">
      <c r="A6" s="38" t="inlineStr">
        <is>
          <t>💵 Dólar Oficial (venta):</t>
        </is>
      </c>
      <c r="B6" s="39" t="n">
        <v>1410</v>
      </c>
      <c r="D6" s="40" t="inlineStr">
        <is>
          <t>Actualizar con script Python</t>
        </is>
      </c>
    </row>
    <row r="7" ht="15" customHeight="1" s="34">
      <c r="A7" s="41" t="inlineStr">
        <is>
          <t>💵 Dólar Blue (venta):</t>
        </is>
      </c>
      <c r="B7" s="42" t="n">
        <v>1435</v>
      </c>
    </row>
    <row r="8" ht="15" customHeight="1" s="34">
      <c r="A8" s="41" t="inlineStr">
        <is>
          <t>Costo fijo de envío (ARS):</t>
        </is>
      </c>
      <c r="B8" s="43" t="n">
        <v>17000</v>
      </c>
    </row>
    <row r="11" ht="15" customHeight="1" s="34">
      <c r="A11" s="37" t="inlineStr">
        <is>
          <t>2. PRODUCTOS A IMPORTAR</t>
        </is>
      </c>
    </row>
    <row r="13" ht="19.4" customHeight="1" s="34">
      <c r="A13" s="44" t="inlineStr">
        <is>
          <t>Producto</t>
        </is>
      </c>
      <c r="B13" s="44" t="inlineStr">
        <is>
          <t>Precio USD</t>
        </is>
      </c>
      <c r="C13" s="44" t="inlineStr">
        <is>
          <t>Cantidad</t>
        </is>
      </c>
      <c r="D13" s="44" t="inlineStr">
        <is>
          <t>Comisión/unid</t>
        </is>
      </c>
      <c r="E13" s="44" t="inlineStr">
        <is>
          <t>Costo Total USD</t>
        </is>
      </c>
      <c r="F13" s="44" t="inlineStr">
        <is>
          <t>Margen Deseado %</t>
        </is>
      </c>
      <c r="G13" s="44" t="inlineStr">
        <is>
          <t>Precio Venta (USD Blue)</t>
        </is>
      </c>
      <c r="H13" s="44" t="inlineStr">
        <is>
          <t>Precio Venta (ARS)</t>
        </is>
      </c>
      <c r="I13" s="44" t="inlineStr">
        <is>
          <t>Ganancia SIN envío</t>
        </is>
      </c>
      <c r="J13" s="44" t="inlineStr">
        <is>
          <t>Costo envío/unid</t>
        </is>
      </c>
      <c r="K13" s="44" t="inlineStr">
        <is>
          <t>Ganancia REAL/unid</t>
        </is>
      </c>
      <c r="L13" s="44" t="inlineStr">
        <is>
          <t>Margen Real %</t>
        </is>
      </c>
    </row>
    <row r="14" ht="15" customHeight="1" s="34">
      <c r="A14" s="45" t="n"/>
      <c r="B14" s="43" t="n">
        <v>0</v>
      </c>
      <c r="C14" s="46" t="n">
        <v>0</v>
      </c>
      <c r="D14" s="47" t="n">
        <v>4</v>
      </c>
      <c r="E14" s="48">
        <f>(B14+D14)*C14</f>
        <v/>
      </c>
      <c r="F14" s="49" t="n">
        <v>0</v>
      </c>
      <c r="G14" s="50">
        <f>IF(F14&gt;0,(B14+D14)*$B$6/((1-F14)*$B$7),0)</f>
        <v/>
      </c>
      <c r="H14" s="51">
        <f>IF(F14&gt;0,G14*$B$7,0)</f>
        <v/>
      </c>
      <c r="I14" s="52">
        <f>IF(F14&gt;0,H14-(B14+D14)*$B$6,0)</f>
        <v/>
      </c>
      <c r="J14" s="53">
        <f>IF(SUM($C$14:$C$33)&gt;0,$B$8/SUM($C$14:$C$33),0)</f>
        <v/>
      </c>
      <c r="K14" s="54">
        <f>I14-J14</f>
        <v/>
      </c>
      <c r="L14" s="55">
        <f>IF(H14&gt;0,K14/H14,0)</f>
        <v/>
      </c>
    </row>
    <row r="15" ht="15" customHeight="1" s="34">
      <c r="A15" s="45" t="n"/>
      <c r="B15" s="43" t="n">
        <v>0</v>
      </c>
      <c r="C15" s="46" t="n">
        <v>0</v>
      </c>
      <c r="D15" s="47" t="n">
        <v>4</v>
      </c>
      <c r="E15" s="48">
        <f>(B15+D15)*C15</f>
        <v/>
      </c>
      <c r="F15" s="49" t="n">
        <v>0</v>
      </c>
      <c r="G15" s="50">
        <f>IF(F15&gt;0,(B15+D15)*$B$6/((1-F15)*$B$7),0)</f>
        <v/>
      </c>
      <c r="H15" s="51">
        <f>IF(F15&gt;0,G15*$B$7,0)</f>
        <v/>
      </c>
      <c r="I15" s="52">
        <f>IF(F15&gt;0,H15-(B15+D15)*$B$6,0)</f>
        <v/>
      </c>
      <c r="J15" s="53">
        <f>IF(SUM($C$14:$C$33)&gt;0,$B$8/SUM($C$14:$C$33),0)</f>
        <v/>
      </c>
      <c r="K15" s="54">
        <f>I15-J15</f>
        <v/>
      </c>
      <c r="L15" s="55">
        <f>IF(H15&gt;0,K15/H15,0)</f>
        <v/>
      </c>
    </row>
    <row r="16" ht="15" customHeight="1" s="34">
      <c r="A16" s="45" t="n"/>
      <c r="B16" s="43" t="n">
        <v>0</v>
      </c>
      <c r="C16" s="46" t="n">
        <v>0</v>
      </c>
      <c r="D16" s="47" t="n">
        <v>4</v>
      </c>
      <c r="E16" s="48">
        <f>(B16+D16)*C16</f>
        <v/>
      </c>
      <c r="F16" s="49" t="n">
        <v>0</v>
      </c>
      <c r="G16" s="50">
        <f>IF(F16&gt;0,(B16+D16)*$B$6/((1-F16)*$B$7),0)</f>
        <v/>
      </c>
      <c r="H16" s="51">
        <f>IF(F16&gt;0,G16*$B$7,0)</f>
        <v/>
      </c>
      <c r="I16" s="52">
        <f>IF(F16&gt;0,H16-(B16+D16)*$B$6,0)</f>
        <v/>
      </c>
      <c r="J16" s="53">
        <f>IF(SUM($C$14:$C$33)&gt;0,$B$8/SUM($C$14:$C$33),0)</f>
        <v/>
      </c>
      <c r="K16" s="54">
        <f>I16-J16</f>
        <v/>
      </c>
      <c r="L16" s="55">
        <f>IF(H16&gt;0,K16/H16,0)</f>
        <v/>
      </c>
    </row>
    <row r="17" ht="15" customHeight="1" s="34">
      <c r="A17" s="45" t="n"/>
      <c r="B17" s="43" t="n">
        <v>0</v>
      </c>
      <c r="C17" s="46" t="n">
        <v>0</v>
      </c>
      <c r="D17" s="47" t="n">
        <v>4</v>
      </c>
      <c r="E17" s="48">
        <f>(B17+D17)*C17</f>
        <v/>
      </c>
      <c r="F17" s="49" t="n">
        <v>0</v>
      </c>
      <c r="G17" s="50">
        <f>IF(F17&gt;0,(B17+D17)*$B$6/((1-F17)*$B$7),0)</f>
        <v/>
      </c>
      <c r="H17" s="51">
        <f>IF(F17&gt;0,G17*$B$7,0)</f>
        <v/>
      </c>
      <c r="I17" s="52">
        <f>IF(F17&gt;0,H17-(B17+D17)*$B$6,0)</f>
        <v/>
      </c>
      <c r="J17" s="53">
        <f>IF(SUM($C$14:$C$33)&gt;0,$B$8/SUM($C$14:$C$33),0)</f>
        <v/>
      </c>
      <c r="K17" s="54">
        <f>I17-J17</f>
        <v/>
      </c>
      <c r="L17" s="55">
        <f>IF(H17&gt;0,K17/H17,0)</f>
        <v/>
      </c>
    </row>
    <row r="18" ht="15" customHeight="1" s="34">
      <c r="A18" s="45" t="n"/>
      <c r="B18" s="43" t="n">
        <v>0</v>
      </c>
      <c r="C18" s="46" t="n">
        <v>0</v>
      </c>
      <c r="D18" s="47" t="n">
        <v>4</v>
      </c>
      <c r="E18" s="48">
        <f>(B18+D18)*C18</f>
        <v/>
      </c>
      <c r="F18" s="49" t="n">
        <v>0</v>
      </c>
      <c r="G18" s="50">
        <f>IF(F18&gt;0,(B18+D18)*$B$6/((1-F18)*$B$7),0)</f>
        <v/>
      </c>
      <c r="H18" s="51">
        <f>IF(F18&gt;0,G18*$B$7,0)</f>
        <v/>
      </c>
      <c r="I18" s="52">
        <f>IF(F18&gt;0,H18-(B18+D18)*$B$6,0)</f>
        <v/>
      </c>
      <c r="J18" s="53">
        <f>IF(SUM($C$14:$C$33)&gt;0,$B$8/SUM($C$14:$C$33),0)</f>
        <v/>
      </c>
      <c r="K18" s="54">
        <f>I18-J18</f>
        <v/>
      </c>
      <c r="L18" s="55">
        <f>IF(H18&gt;0,K18/H18,0)</f>
        <v/>
      </c>
    </row>
    <row r="19" ht="15" customHeight="1" s="34">
      <c r="A19" s="45" t="n"/>
      <c r="B19" s="43" t="n">
        <v>0</v>
      </c>
      <c r="C19" s="46" t="n">
        <v>0</v>
      </c>
      <c r="D19" s="47" t="n">
        <v>4</v>
      </c>
      <c r="E19" s="48">
        <f>(B19+D19)*C19</f>
        <v/>
      </c>
      <c r="F19" s="49" t="n">
        <v>0</v>
      </c>
      <c r="G19" s="50">
        <f>IF(F19&gt;0,(B19+D19)*$B$6/((1-F19)*$B$7),0)</f>
        <v/>
      </c>
      <c r="H19" s="51">
        <f>IF(F19&gt;0,G19*$B$7,0)</f>
        <v/>
      </c>
      <c r="I19" s="52">
        <f>IF(F19&gt;0,H19-(B19+D19)*$B$6,0)</f>
        <v/>
      </c>
      <c r="J19" s="53">
        <f>IF(SUM($C$14:$C$33)&gt;0,$B$8/SUM($C$14:$C$33),0)</f>
        <v/>
      </c>
      <c r="K19" s="54">
        <f>I19-J19</f>
        <v/>
      </c>
      <c r="L19" s="55">
        <f>IF(H19&gt;0,K19/H19,0)</f>
        <v/>
      </c>
    </row>
    <row r="20" ht="15" customHeight="1" s="34">
      <c r="A20" s="45" t="n"/>
      <c r="B20" s="43" t="n">
        <v>0</v>
      </c>
      <c r="C20" s="46" t="n">
        <v>0</v>
      </c>
      <c r="D20" s="47" t="n">
        <v>4</v>
      </c>
      <c r="E20" s="48">
        <f>(B20+D20)*C20</f>
        <v/>
      </c>
      <c r="F20" s="49" t="n">
        <v>0</v>
      </c>
      <c r="G20" s="50">
        <f>IF(F20&gt;0,(B20+D20)*$B$6/((1-F20)*$B$7),0)</f>
        <v/>
      </c>
      <c r="H20" s="51">
        <f>IF(F20&gt;0,G20*$B$7,0)</f>
        <v/>
      </c>
      <c r="I20" s="52">
        <f>IF(F20&gt;0,H20-(B20+D20)*$B$6,0)</f>
        <v/>
      </c>
      <c r="J20" s="53">
        <f>IF(SUM($C$14:$C$33)&gt;0,$B$8/SUM($C$14:$C$33),0)</f>
        <v/>
      </c>
      <c r="K20" s="54">
        <f>I20-J20</f>
        <v/>
      </c>
      <c r="L20" s="55">
        <f>IF(H20&gt;0,K20/H20,0)</f>
        <v/>
      </c>
    </row>
    <row r="21" ht="15" customHeight="1" s="34">
      <c r="A21" s="45" t="n"/>
      <c r="B21" s="43" t="n">
        <v>0</v>
      </c>
      <c r="C21" s="46" t="n">
        <v>0</v>
      </c>
      <c r="D21" s="47" t="n">
        <v>4</v>
      </c>
      <c r="E21" s="48">
        <f>(B21+D21)*C21</f>
        <v/>
      </c>
      <c r="F21" s="49" t="n">
        <v>0</v>
      </c>
      <c r="G21" s="50">
        <f>IF(F21&gt;0,(B21+D21)*$B$6/((1-F21)*$B$7),0)</f>
        <v/>
      </c>
      <c r="H21" s="51">
        <f>IF(F21&gt;0,G21*$B$7,0)</f>
        <v/>
      </c>
      <c r="I21" s="52">
        <f>IF(F21&gt;0,H21-(B21+D21)*$B$6,0)</f>
        <v/>
      </c>
      <c r="J21" s="53">
        <f>IF(SUM($C$14:$C$33)&gt;0,$B$8/SUM($C$14:$C$33),0)</f>
        <v/>
      </c>
      <c r="K21" s="54">
        <f>I21-J21</f>
        <v/>
      </c>
      <c r="L21" s="55">
        <f>IF(H21&gt;0,K21/H21,0)</f>
        <v/>
      </c>
    </row>
    <row r="22" ht="15" customHeight="1" s="34">
      <c r="A22" s="45" t="n"/>
      <c r="B22" s="43" t="n">
        <v>0</v>
      </c>
      <c r="C22" s="46" t="n">
        <v>0</v>
      </c>
      <c r="D22" s="47" t="n">
        <v>4</v>
      </c>
      <c r="E22" s="48">
        <f>(B22+D22)*C22</f>
        <v/>
      </c>
      <c r="F22" s="49" t="n">
        <v>0</v>
      </c>
      <c r="G22" s="50">
        <f>IF(F22&gt;0,(B22+D22)*$B$6/((1-F22)*$B$7),0)</f>
        <v/>
      </c>
      <c r="H22" s="51">
        <f>IF(F22&gt;0,G22*$B$7,0)</f>
        <v/>
      </c>
      <c r="I22" s="52">
        <f>IF(F22&gt;0,H22-(B22+D22)*$B$6,0)</f>
        <v/>
      </c>
      <c r="J22" s="53">
        <f>IF(SUM($C$14:$C$33)&gt;0,$B$8/SUM($C$14:$C$33),0)</f>
        <v/>
      </c>
      <c r="K22" s="54">
        <f>I22-J22</f>
        <v/>
      </c>
      <c r="L22" s="55">
        <f>IF(H22&gt;0,K22/H22,0)</f>
        <v/>
      </c>
    </row>
    <row r="23" ht="15" customHeight="1" s="34">
      <c r="A23" s="45" t="n"/>
      <c r="B23" s="43" t="n">
        <v>0</v>
      </c>
      <c r="C23" s="46" t="n">
        <v>0</v>
      </c>
      <c r="D23" s="47" t="n">
        <v>4</v>
      </c>
      <c r="E23" s="48">
        <f>(B23+D23)*C23</f>
        <v/>
      </c>
      <c r="F23" s="49" t="n">
        <v>0</v>
      </c>
      <c r="G23" s="50">
        <f>IF(F23&gt;0,(B23+D23)*$B$6/((1-F23)*$B$7),0)</f>
        <v/>
      </c>
      <c r="H23" s="51">
        <f>IF(F23&gt;0,G23*$B$7,0)</f>
        <v/>
      </c>
      <c r="I23" s="52">
        <f>IF(F23&gt;0,H23-(B23+D23)*$B$6,0)</f>
        <v/>
      </c>
      <c r="J23" s="53">
        <f>IF(SUM($C$14:$C$33)&gt;0,$B$8/SUM($C$14:$C$33),0)</f>
        <v/>
      </c>
      <c r="K23" s="54">
        <f>I23-J23</f>
        <v/>
      </c>
      <c r="L23" s="55">
        <f>IF(H23&gt;0,K23/H23,0)</f>
        <v/>
      </c>
    </row>
    <row r="24" ht="15" customHeight="1" s="34">
      <c r="A24" s="45" t="n"/>
      <c r="B24" s="43" t="n">
        <v>0</v>
      </c>
      <c r="C24" s="46" t="n">
        <v>0</v>
      </c>
      <c r="D24" s="47" t="n">
        <v>4</v>
      </c>
      <c r="E24" s="48">
        <f>(B24+D24)*C24</f>
        <v/>
      </c>
      <c r="F24" s="49" t="n">
        <v>0</v>
      </c>
      <c r="G24" s="50">
        <f>IF(F24&gt;0,(B24+D24)*$B$6/((1-F24)*$B$7),0)</f>
        <v/>
      </c>
      <c r="H24" s="51">
        <f>IF(F24&gt;0,G24*$B$7,0)</f>
        <v/>
      </c>
      <c r="I24" s="52">
        <f>IF(F24&gt;0,H24-(B24+D24)*$B$6,0)</f>
        <v/>
      </c>
      <c r="J24" s="53">
        <f>IF(SUM($C$14:$C$33)&gt;0,$B$8/SUM($C$14:$C$33),0)</f>
        <v/>
      </c>
      <c r="K24" s="54">
        <f>I24-J24</f>
        <v/>
      </c>
      <c r="L24" s="55">
        <f>IF(H24&gt;0,K24/H24,0)</f>
        <v/>
      </c>
    </row>
    <row r="25" ht="15" customHeight="1" s="34">
      <c r="A25" s="45" t="n"/>
      <c r="B25" s="43" t="n">
        <v>0</v>
      </c>
      <c r="C25" s="46" t="n">
        <v>0</v>
      </c>
      <c r="D25" s="47" t="n">
        <v>4</v>
      </c>
      <c r="E25" s="48">
        <f>(B25+D25)*C25</f>
        <v/>
      </c>
      <c r="F25" s="49" t="n">
        <v>0</v>
      </c>
      <c r="G25" s="50">
        <f>IF(F25&gt;0,(B25+D25)*$B$6/((1-F25)*$B$7),0)</f>
        <v/>
      </c>
      <c r="H25" s="51">
        <f>IF(F25&gt;0,G25*$B$7,0)</f>
        <v/>
      </c>
      <c r="I25" s="52">
        <f>IF(F25&gt;0,H25-(B25+D25)*$B$6,0)</f>
        <v/>
      </c>
      <c r="J25" s="53">
        <f>IF(SUM($C$14:$C$33)&gt;0,$B$8/SUM($C$14:$C$33),0)</f>
        <v/>
      </c>
      <c r="K25" s="54">
        <f>I25-J25</f>
        <v/>
      </c>
      <c r="L25" s="55">
        <f>IF(H25&gt;0,K25/H25,0)</f>
        <v/>
      </c>
    </row>
    <row r="26" ht="15" customHeight="1" s="34">
      <c r="A26" s="45" t="n"/>
      <c r="B26" s="43" t="n">
        <v>0</v>
      </c>
      <c r="C26" s="46" t="n">
        <v>0</v>
      </c>
      <c r="D26" s="47" t="n">
        <v>4</v>
      </c>
      <c r="E26" s="48">
        <f>(B26+D26)*C26</f>
        <v/>
      </c>
      <c r="F26" s="49" t="n">
        <v>0</v>
      </c>
      <c r="G26" s="50">
        <f>IF(F26&gt;0,(B26+D26)*$B$6/((1-F26)*$B$7),0)</f>
        <v/>
      </c>
      <c r="H26" s="51">
        <f>IF(F26&gt;0,G26*$B$7,0)</f>
        <v/>
      </c>
      <c r="I26" s="52">
        <f>IF(F26&gt;0,H26-(B26+D26)*$B$6,0)</f>
        <v/>
      </c>
      <c r="J26" s="53">
        <f>IF(SUM($C$14:$C$33)&gt;0,$B$8/SUM($C$14:$C$33),0)</f>
        <v/>
      </c>
      <c r="K26" s="54">
        <f>I26-J26</f>
        <v/>
      </c>
      <c r="L26" s="55">
        <f>IF(H26&gt;0,K26/H26,0)</f>
        <v/>
      </c>
    </row>
    <row r="27" ht="15" customHeight="1" s="34">
      <c r="A27" s="45" t="n"/>
      <c r="B27" s="43" t="n">
        <v>0</v>
      </c>
      <c r="C27" s="46" t="n">
        <v>0</v>
      </c>
      <c r="D27" s="47" t="n">
        <v>4</v>
      </c>
      <c r="E27" s="48">
        <f>(B27+D27)*C27</f>
        <v/>
      </c>
      <c r="F27" s="49" t="n">
        <v>0</v>
      </c>
      <c r="G27" s="50">
        <f>IF(F27&gt;0,(B27+D27)*$B$6/((1-F27)*$B$7),0)</f>
        <v/>
      </c>
      <c r="H27" s="51">
        <f>IF(F27&gt;0,G27*$B$7,0)</f>
        <v/>
      </c>
      <c r="I27" s="52">
        <f>IF(F27&gt;0,H27-(B27+D27)*$B$6,0)</f>
        <v/>
      </c>
      <c r="J27" s="53">
        <f>IF(SUM($C$14:$C$33)&gt;0,$B$8/SUM($C$14:$C$33),0)</f>
        <v/>
      </c>
      <c r="K27" s="54">
        <f>I27-J27</f>
        <v/>
      </c>
      <c r="L27" s="55">
        <f>IF(H27&gt;0,K27/H27,0)</f>
        <v/>
      </c>
    </row>
    <row r="28" ht="15" customHeight="1" s="34">
      <c r="A28" s="45" t="n"/>
      <c r="B28" s="43" t="n">
        <v>0</v>
      </c>
      <c r="C28" s="46" t="n">
        <v>0</v>
      </c>
      <c r="D28" s="47" t="n">
        <v>4</v>
      </c>
      <c r="E28" s="48">
        <f>(B28+D28)*C28</f>
        <v/>
      </c>
      <c r="F28" s="49" t="n">
        <v>0</v>
      </c>
      <c r="G28" s="50">
        <f>IF(F28&gt;0,(B28+D28)*$B$6/((1-F28)*$B$7),0)</f>
        <v/>
      </c>
      <c r="H28" s="51">
        <f>IF(F28&gt;0,G28*$B$7,0)</f>
        <v/>
      </c>
      <c r="I28" s="52">
        <f>IF(F28&gt;0,H28-(B28+D28)*$B$6,0)</f>
        <v/>
      </c>
      <c r="J28" s="53">
        <f>IF(SUM($C$14:$C$33)&gt;0,$B$8/SUM($C$14:$C$33),0)</f>
        <v/>
      </c>
      <c r="K28" s="54">
        <f>I28-J28</f>
        <v/>
      </c>
      <c r="L28" s="55">
        <f>IF(H28&gt;0,K28/H28,0)</f>
        <v/>
      </c>
    </row>
    <row r="29" ht="15" customHeight="1" s="34">
      <c r="A29" s="45" t="n"/>
      <c r="B29" s="43" t="n">
        <v>0</v>
      </c>
      <c r="C29" s="46" t="n">
        <v>0</v>
      </c>
      <c r="D29" s="47" t="n">
        <v>4</v>
      </c>
      <c r="E29" s="48">
        <f>(B29+D29)*C29</f>
        <v/>
      </c>
      <c r="F29" s="49" t="n">
        <v>0</v>
      </c>
      <c r="G29" s="50">
        <f>IF(F29&gt;0,(B29+D29)*$B$6/((1-F29)*$B$7),0)</f>
        <v/>
      </c>
      <c r="H29" s="51">
        <f>IF(F29&gt;0,G29*$B$7,0)</f>
        <v/>
      </c>
      <c r="I29" s="52">
        <f>IF(F29&gt;0,H29-(B29+D29)*$B$6,0)</f>
        <v/>
      </c>
      <c r="J29" s="53">
        <f>IF(SUM($C$14:$C$33)&gt;0,$B$8/SUM($C$14:$C$33),0)</f>
        <v/>
      </c>
      <c r="K29" s="54">
        <f>I29-J29</f>
        <v/>
      </c>
      <c r="L29" s="55">
        <f>IF(H29&gt;0,K29/H29,0)</f>
        <v/>
      </c>
    </row>
    <row r="30" ht="15" customHeight="1" s="34">
      <c r="A30" s="45" t="n"/>
      <c r="B30" s="43" t="n">
        <v>0</v>
      </c>
      <c r="C30" s="46" t="n">
        <v>0</v>
      </c>
      <c r="D30" s="47" t="n">
        <v>4</v>
      </c>
      <c r="E30" s="48">
        <f>(B30+D30)*C30</f>
        <v/>
      </c>
      <c r="F30" s="49" t="n">
        <v>0</v>
      </c>
      <c r="G30" s="50">
        <f>IF(F30&gt;0,(B30+D30)*$B$6/((1-F30)*$B$7),0)</f>
        <v/>
      </c>
      <c r="H30" s="51">
        <f>IF(F30&gt;0,G30*$B$7,0)</f>
        <v/>
      </c>
      <c r="I30" s="52">
        <f>IF(F30&gt;0,H30-(B30+D30)*$B$6,0)</f>
        <v/>
      </c>
      <c r="J30" s="53">
        <f>IF(SUM($C$14:$C$33)&gt;0,$B$8/SUM($C$14:$C$33),0)</f>
        <v/>
      </c>
      <c r="K30" s="54">
        <f>I30-J30</f>
        <v/>
      </c>
      <c r="L30" s="55">
        <f>IF(H30&gt;0,K30/H30,0)</f>
        <v/>
      </c>
    </row>
    <row r="31" ht="15" customHeight="1" s="34">
      <c r="A31" s="45" t="n"/>
      <c r="B31" s="43" t="n">
        <v>0</v>
      </c>
      <c r="C31" s="46" t="n">
        <v>0</v>
      </c>
      <c r="D31" s="47" t="n">
        <v>4</v>
      </c>
      <c r="E31" s="48">
        <f>(B31+D31)*C31</f>
        <v/>
      </c>
      <c r="F31" s="49" t="n">
        <v>0</v>
      </c>
      <c r="G31" s="50">
        <f>IF(F31&gt;0,(B31+D31)*$B$6/((1-F31)*$B$7),0)</f>
        <v/>
      </c>
      <c r="H31" s="51">
        <f>IF(F31&gt;0,G31*$B$7,0)</f>
        <v/>
      </c>
      <c r="I31" s="52">
        <f>IF(F31&gt;0,H31-(B31+D31)*$B$6,0)</f>
        <v/>
      </c>
      <c r="J31" s="53">
        <f>IF(SUM($C$14:$C$33)&gt;0,$B$8/SUM($C$14:$C$33),0)</f>
        <v/>
      </c>
      <c r="K31" s="54">
        <f>I31-J31</f>
        <v/>
      </c>
      <c r="L31" s="55">
        <f>IF(H31&gt;0,K31/H31,0)</f>
        <v/>
      </c>
    </row>
    <row r="32" ht="15" customHeight="1" s="34">
      <c r="A32" s="45" t="n"/>
      <c r="B32" s="43" t="n">
        <v>0</v>
      </c>
      <c r="C32" s="46" t="n">
        <v>0</v>
      </c>
      <c r="D32" s="47" t="n">
        <v>4</v>
      </c>
      <c r="E32" s="48">
        <f>(B32+D32)*C32</f>
        <v/>
      </c>
      <c r="F32" s="49" t="n">
        <v>0</v>
      </c>
      <c r="G32" s="50">
        <f>IF(F32&gt;0,(B32+D32)*$B$6/((1-F32)*$B$7),0)</f>
        <v/>
      </c>
      <c r="H32" s="51">
        <f>IF(F32&gt;0,G32*$B$7,0)</f>
        <v/>
      </c>
      <c r="I32" s="52">
        <f>IF(F32&gt;0,H32-(B32+D32)*$B$6,0)</f>
        <v/>
      </c>
      <c r="J32" s="53">
        <f>IF(SUM($C$14:$C$33)&gt;0,$B$8/SUM($C$14:$C$33),0)</f>
        <v/>
      </c>
      <c r="K32" s="54">
        <f>I32-J32</f>
        <v/>
      </c>
      <c r="L32" s="55">
        <f>IF(H32&gt;0,K32/H32,0)</f>
        <v/>
      </c>
    </row>
    <row r="33" ht="15" customHeight="1" s="34">
      <c r="A33" s="45" t="n"/>
      <c r="B33" s="43" t="n">
        <v>0</v>
      </c>
      <c r="C33" s="46" t="n">
        <v>0</v>
      </c>
      <c r="D33" s="47" t="n">
        <v>4</v>
      </c>
      <c r="E33" s="48">
        <f>(B33+D33)*C33</f>
        <v/>
      </c>
      <c r="F33" s="49" t="n">
        <v>0</v>
      </c>
      <c r="G33" s="50">
        <f>IF(F33&gt;0,(B33+D33)*$B$6/((1-F33)*$B$7),0)</f>
        <v/>
      </c>
      <c r="H33" s="51">
        <f>IF(F33&gt;0,G33*$B$7,0)</f>
        <v/>
      </c>
      <c r="I33" s="52">
        <f>IF(F33&gt;0,H33-(B33+D33)*$B$6,0)</f>
        <v/>
      </c>
      <c r="J33" s="53">
        <f>IF(SUM($C$14:$C$33)&gt;0,$B$8/SUM($C$14:$C$33),0)</f>
        <v/>
      </c>
      <c r="K33" s="54">
        <f>I33-J33</f>
        <v/>
      </c>
      <c r="L33" s="55">
        <f>IF(H33&gt;0,K33/H33,0)</f>
        <v/>
      </c>
    </row>
    <row r="35" ht="15" customHeight="1" s="34">
      <c r="A35" s="37" t="inlineStr">
        <is>
          <t>3. TOTALES</t>
        </is>
      </c>
    </row>
    <row r="37" ht="15" customHeight="1" s="34">
      <c r="A37" s="33" t="inlineStr">
        <is>
          <t>Inversión total (USD oficial):</t>
        </is>
      </c>
      <c r="B37" s="56">
        <f>SUM(E14:E33)</f>
        <v/>
      </c>
    </row>
    <row r="38" ht="15" customHeight="1" s="34">
      <c r="A38" s="33" t="inlineStr">
        <is>
          <t>Total venta (ARS blue):</t>
        </is>
      </c>
      <c r="B38" s="57">
        <f>SUMPRODUCT(H14:H33,C14:C33)</f>
        <v/>
      </c>
    </row>
    <row r="39" ht="15" customHeight="1" s="34">
      <c r="A39" s="33" t="inlineStr">
        <is>
          <t>Costo productos (ARS):</t>
        </is>
      </c>
      <c r="B39" s="58">
        <f>B37*B6</f>
        <v/>
      </c>
    </row>
    <row r="40" ht="15" customHeight="1" s="34">
      <c r="A40" s="33" t="inlineStr">
        <is>
          <t>Costo envío (ARS):</t>
        </is>
      </c>
      <c r="B40" s="58">
        <f>B8</f>
        <v/>
      </c>
    </row>
    <row r="42" ht="16.15" customHeight="1" s="34">
      <c r="A42" s="59" t="inlineStr">
        <is>
          <t>COSTO TOTAL (ARS):</t>
        </is>
      </c>
      <c r="B42" s="60">
        <f>B39+B40</f>
        <v/>
      </c>
    </row>
    <row r="44" ht="15" customHeight="1" s="34">
      <c r="A44" s="37" t="inlineStr">
        <is>
          <t>4. ANÁLISIS</t>
        </is>
      </c>
    </row>
    <row r="46" ht="15" customHeight="1" s="34">
      <c r="A46" s="33" t="inlineStr">
        <is>
          <t>Cantidad total de productos:</t>
        </is>
      </c>
      <c r="B46" s="61">
        <f>SUM(C14:C33)</f>
        <v/>
      </c>
    </row>
    <row r="47" ht="15" customHeight="1" s="34">
      <c r="A47" s="33" t="inlineStr">
        <is>
          <t>Costo total por producto:</t>
        </is>
      </c>
      <c r="B47" s="58">
        <f>IF(B46&gt;0,B42/B46,0)</f>
        <v/>
      </c>
    </row>
    <row r="48" ht="15" customHeight="1" s="34">
      <c r="A48" s="62" t="inlineStr">
        <is>
          <t>Ganancia REAL total:</t>
        </is>
      </c>
      <c r="B48" s="63">
        <f>SUMPRODUCT(K14:K33,C14:C33)</f>
        <v/>
      </c>
    </row>
    <row r="49" ht="15" customHeight="1" s="34">
      <c r="A49" s="62" t="inlineStr">
        <is>
          <t>Margen promedio REAL:</t>
        </is>
      </c>
      <c r="B49" s="64">
        <f>AVERAGE(L14:L33)</f>
        <v/>
      </c>
    </row>
    <row r="50" ht="15" customHeight="1" s="34">
      <c r="A50" s="62" t="inlineStr">
        <is>
          <t>ROI (Retorno sobre inversión):</t>
        </is>
      </c>
      <c r="B50" s="64">
        <f>IF(B42&gt;0,B48/B42,0)</f>
        <v/>
      </c>
    </row>
    <row r="52" ht="15" customHeight="1" s="34">
      <c r="A52" s="65" t="inlineStr">
        <is>
          <t>⚠️ IMPORTANTE: El costo de envío se divide entre TODOS los productos</t>
        </is>
      </c>
    </row>
    <row r="53" ht="15" customHeight="1" s="34">
      <c r="A53" s="40" t="inlineStr">
        <is>
          <t>Ejemplo: Con 1 producto, envío = $17,000/unid. Con 10 productos, envío = $1,700/unid</t>
        </is>
      </c>
    </row>
  </sheetData>
  <mergeCells count="3">
    <mergeCell ref="A1:K1"/>
    <mergeCell ref="A52:L52"/>
    <mergeCell ref="A53:L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2026-02-06T14:31:47Z</dcterms:created>
  <dcterms:modified xsi:type="dcterms:W3CDTF">2026-02-20T16:23:55Z</dcterms:modified>
  <cp:revision>0</cp:revision>
</cp:coreProperties>
</file>